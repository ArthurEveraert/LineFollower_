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5B726ACE-985A-4A24-94A8-78EEFEFEA2A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C18" i="1" s="1"/>
  <c r="C20" i="1" s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14" i="1" l="1"/>
  <c r="C23" i="1" s="1"/>
  <c r="C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4" authorId="0" shapeId="0" xr:uid="{00000000-0006-0000-0000-000004000000}">
      <text>
        <r>
          <rPr>
            <sz val="10"/>
            <rFont val="Arial"/>
            <family val="2"/>
          </rPr>
          <t>Standaard gelijk aan besteld aantal. Pas aan naar het aantal dat echt in de robot zit (reserveonderdelen eruit).</t>
        </r>
      </text>
    </comment>
    <comment ref="C19" authorId="0" shapeId="0" xr:uid="{00000000-0006-0000-0000-000001000000}">
      <text>
        <r>
          <rPr>
            <sz val="10"/>
            <rFont val="Arial"/>
            <family val="2"/>
          </rPr>
          <t>Bron: factuur INV-2026-56833</t>
        </r>
      </text>
    </comment>
    <comment ref="C21" authorId="0" shapeId="0" xr:uid="{00000000-0006-0000-0000-000002000000}">
      <text>
        <r>
          <rPr>
            <sz val="10"/>
            <rFont val="Arial"/>
            <family val="2"/>
          </rPr>
          <t>Budget ±€50 voor de opdracht, opgegeven door Arthur. Pas aan indien nodig.</t>
        </r>
      </text>
    </comment>
    <comment ref="C22" authorId="0" shapeId="0" xr:uid="{00000000-0006-0000-0000-000003000000}">
      <text>
        <r>
          <rPr>
            <sz val="10"/>
            <rFont val="Arial"/>
            <family val="2"/>
          </rPr>
          <t>BE BTW 21% volgens factuur</t>
        </r>
      </text>
    </comment>
  </commentList>
</comments>
</file>

<file path=xl/sharedStrings.xml><?xml version="1.0" encoding="utf-8"?>
<sst xmlns="http://schemas.openxmlformats.org/spreadsheetml/2006/main" count="61" uniqueCount="50">
  <si>
    <t>BOM – Line follower robot</t>
  </si>
  <si>
    <t>#</t>
  </si>
  <si>
    <t>Component</t>
  </si>
  <si>
    <t>Functie</t>
  </si>
  <si>
    <t>Leverancier</t>
  </si>
  <si>
    <t>SKU</t>
  </si>
  <si>
    <t>Besteld</t>
  </si>
  <si>
    <t>Nodig voor robot</t>
  </si>
  <si>
    <t>Prijs/st. incl. BTW</t>
  </si>
  <si>
    <t>Prijs/st. excl. BTW</t>
  </si>
  <si>
    <t>Totaal besteld (incl. BTW)</t>
  </si>
  <si>
    <t>Kost per robot (incl. BTW)</t>
  </si>
  <si>
    <t>Aslong JGA12-N20-30 DC-transmissiemotor 6V, 500 RPM</t>
  </si>
  <si>
    <t>Aandrijving</t>
  </si>
  <si>
    <t>TinyTronics</t>
  </si>
  <si>
    <t>005462</t>
  </si>
  <si>
    <t>DRV8833 bipolaire stappenmotor- en DC-motoraansturing</t>
  </si>
  <si>
    <t>Motoraansturing</t>
  </si>
  <si>
    <t>001080</t>
  </si>
  <si>
    <t>Arduino Nano ESP32 (ESP32-S3)</t>
  </si>
  <si>
    <t>Microcontroller</t>
  </si>
  <si>
    <t>005183</t>
  </si>
  <si>
    <t>8x IR lijn-tracking module</t>
  </si>
  <si>
    <t>Lijndetectie</t>
  </si>
  <si>
    <t>002174</t>
  </si>
  <si>
    <t>1x 18650 batterijhouder voor printplaat</t>
  </si>
  <si>
    <t>Voeding</t>
  </si>
  <si>
    <t>000689</t>
  </si>
  <si>
    <t>BAK 18650 Li-ion batterij 2900 mAh, 8,25 A (N18650CL-29)</t>
  </si>
  <si>
    <t>006011</t>
  </si>
  <si>
    <t>Goobay 25503 zekeringhouder 5x20 mm</t>
  </si>
  <si>
    <t>Beveiliging</t>
  </si>
  <si>
    <t>005929</t>
  </si>
  <si>
    <t>Zekering 5x20 mm, 250 V, 0,5 A</t>
  </si>
  <si>
    <t>004217</t>
  </si>
  <si>
    <t>Zekeringhouder 5x20 mm, 5 A, printplaat</t>
  </si>
  <si>
    <t>001195</t>
  </si>
  <si>
    <t>Subtotaal componenten</t>
  </si>
  <si>
    <t>Overzicht</t>
  </si>
  <si>
    <t>Componenten (besteld, incl. BTW)</t>
  </si>
  <si>
    <t>Verzending PostNL (incl. BTW)</t>
  </si>
  <si>
    <t>Totaal factuur</t>
  </si>
  <si>
    <t>Budget opdracht</t>
  </si>
  <si>
    <t>BTW-tarief</t>
  </si>
  <si>
    <t>Kost per robot (componenten, incl. BTW)</t>
  </si>
  <si>
    <t>Verschil budget − kost per robot</t>
  </si>
  <si>
    <t>Legende</t>
  </si>
  <si>
    <t>Blauwe tekst = ingevoerde waarde (van factuur)</t>
  </si>
  <si>
    <t>Zwarte tekst = formule</t>
  </si>
  <si>
    <t>Gele cellen = invullen: aantal dat effectief in de robot zit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</si>
</sst>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 &quot;#,##0.00;&quot;-€ &quot;#,##0.00;\-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0" borderId="1" xfId="0" applyNumberFormat="1" applyFont="1" applyBorder="1"/>
    <xf numFmtId="164" fontId="5" fillId="0" borderId="1" xfId="0" applyNumberFormat="1" applyFont="1" applyBorder="1"/>
    <xf numFmtId="0" fontId="6" fillId="0" borderId="0" xfId="0" applyFont="1"/>
    <xf numFmtId="164" fontId="6" fillId="0" borderId="1" xfId="0" applyNumberFormat="1" applyFont="1" applyBorder="1"/>
    <xf numFmtId="0" fontId="7" fillId="0" borderId="0" xfId="0" applyFont="1"/>
    <xf numFmtId="0" fontId="5" fillId="0" borderId="0" xfId="0" applyFont="1"/>
    <xf numFmtId="9" fontId="4" fillId="0" borderId="1" xfId="0" applyNumberFormat="1" applyFont="1" applyBorder="1"/>
    <xf numFmtId="0" fontId="4" fillId="0" borderId="0" xfId="0" applyFont="1"/>
    <xf numFmtId="0" fontId="5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Normal="100" workbookViewId="0">
      <pane ySplit="4" topLeftCell="A5" activePane="bottomLeft" state="frozen"/>
      <selection pane="bottomLeft" activeCell="B34" sqref="B34"/>
    </sheetView>
  </sheetViews>
  <sheetFormatPr defaultColWidth="8.7109375" defaultRowHeight="15" x14ac:dyDescent="0.25"/>
  <cols>
    <col min="1" max="1" width="5" customWidth="1"/>
    <col min="2" max="2" width="52" customWidth="1"/>
    <col min="3" max="3" width="16" customWidth="1"/>
    <col min="4" max="4" width="13" customWidth="1"/>
    <col min="5" max="6" width="9" customWidth="1"/>
    <col min="7" max="7" width="11" customWidth="1"/>
    <col min="8" max="9" width="12" customWidth="1"/>
    <col min="10" max="11" width="14" customWidth="1"/>
  </cols>
  <sheetData>
    <row r="1" spans="1:11" ht="18" x14ac:dyDescent="0.25">
      <c r="A1" s="1" t="s">
        <v>0</v>
      </c>
    </row>
    <row r="2" spans="1:11" x14ac:dyDescent="0.25">
      <c r="A2" s="2"/>
    </row>
    <row r="4" spans="1:11" ht="31.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x14ac:dyDescent="0.25">
      <c r="A5" s="4">
        <v>1</v>
      </c>
      <c r="B5" s="5" t="s">
        <v>12</v>
      </c>
      <c r="C5" s="5" t="s">
        <v>13</v>
      </c>
      <c r="D5" s="5" t="s">
        <v>14</v>
      </c>
      <c r="E5" s="6" t="s">
        <v>15</v>
      </c>
      <c r="F5" s="4">
        <v>3</v>
      </c>
      <c r="G5" s="7">
        <v>2</v>
      </c>
      <c r="H5" s="8">
        <v>4.5</v>
      </c>
      <c r="I5" s="9">
        <f t="shared" ref="I5:I13" si="0">H5/(1+$C$22)</f>
        <v>3.71900826446281</v>
      </c>
      <c r="J5" s="9">
        <f t="shared" ref="J5:J13" si="1">F5*H5</f>
        <v>13.5</v>
      </c>
      <c r="K5" s="9">
        <f t="shared" ref="K5:K13" si="2">G5*H5</f>
        <v>9</v>
      </c>
    </row>
    <row r="6" spans="1:11" x14ac:dyDescent="0.25">
      <c r="A6" s="4">
        <v>2</v>
      </c>
      <c r="B6" s="5" t="s">
        <v>16</v>
      </c>
      <c r="C6" s="5" t="s">
        <v>17</v>
      </c>
      <c r="D6" s="5" t="s">
        <v>14</v>
      </c>
      <c r="E6" s="6" t="s">
        <v>18</v>
      </c>
      <c r="F6" s="4">
        <v>2</v>
      </c>
      <c r="G6" s="7">
        <v>1</v>
      </c>
      <c r="H6" s="8">
        <v>3</v>
      </c>
      <c r="I6" s="9">
        <f t="shared" si="0"/>
        <v>2.4793388429752068</v>
      </c>
      <c r="J6" s="9">
        <f t="shared" si="1"/>
        <v>6</v>
      </c>
      <c r="K6" s="9">
        <f t="shared" si="2"/>
        <v>3</v>
      </c>
    </row>
    <row r="7" spans="1:11" x14ac:dyDescent="0.25">
      <c r="A7" s="4">
        <v>3</v>
      </c>
      <c r="B7" s="5" t="s">
        <v>19</v>
      </c>
      <c r="C7" s="5" t="s">
        <v>20</v>
      </c>
      <c r="D7" s="5" t="s">
        <v>14</v>
      </c>
      <c r="E7" s="6" t="s">
        <v>21</v>
      </c>
      <c r="F7" s="4">
        <v>1</v>
      </c>
      <c r="G7" s="7">
        <v>1</v>
      </c>
      <c r="H7" s="8">
        <v>21</v>
      </c>
      <c r="I7" s="9">
        <f t="shared" si="0"/>
        <v>17.355371900826448</v>
      </c>
      <c r="J7" s="9">
        <f t="shared" si="1"/>
        <v>21</v>
      </c>
      <c r="K7" s="9">
        <f t="shared" si="2"/>
        <v>21</v>
      </c>
    </row>
    <row r="8" spans="1:11" x14ac:dyDescent="0.25">
      <c r="A8" s="4">
        <v>4</v>
      </c>
      <c r="B8" s="5" t="s">
        <v>22</v>
      </c>
      <c r="C8" s="5" t="s">
        <v>23</v>
      </c>
      <c r="D8" s="5" t="s">
        <v>14</v>
      </c>
      <c r="E8" s="6" t="s">
        <v>24</v>
      </c>
      <c r="F8" s="4">
        <v>2</v>
      </c>
      <c r="G8" s="7">
        <v>1</v>
      </c>
      <c r="H8" s="8">
        <v>3.5</v>
      </c>
      <c r="I8" s="9">
        <f t="shared" si="0"/>
        <v>2.8925619834710745</v>
      </c>
      <c r="J8" s="9">
        <f t="shared" si="1"/>
        <v>7</v>
      </c>
      <c r="K8" s="9">
        <f t="shared" si="2"/>
        <v>3.5</v>
      </c>
    </row>
    <row r="9" spans="1:11" x14ac:dyDescent="0.25">
      <c r="A9" s="4">
        <v>5</v>
      </c>
      <c r="B9" s="5" t="s">
        <v>25</v>
      </c>
      <c r="C9" s="5" t="s">
        <v>26</v>
      </c>
      <c r="D9" s="5" t="s">
        <v>14</v>
      </c>
      <c r="E9" s="6" t="s">
        <v>27</v>
      </c>
      <c r="F9" s="4">
        <v>2</v>
      </c>
      <c r="G9" s="7">
        <v>2</v>
      </c>
      <c r="H9" s="8">
        <v>1.5</v>
      </c>
      <c r="I9" s="9">
        <f t="shared" si="0"/>
        <v>1.2396694214876034</v>
      </c>
      <c r="J9" s="9">
        <f t="shared" si="1"/>
        <v>3</v>
      </c>
      <c r="K9" s="9">
        <f t="shared" si="2"/>
        <v>3</v>
      </c>
    </row>
    <row r="10" spans="1:11" x14ac:dyDescent="0.25">
      <c r="A10" s="4">
        <v>6</v>
      </c>
      <c r="B10" s="5" t="s">
        <v>28</v>
      </c>
      <c r="C10" s="5" t="s">
        <v>26</v>
      </c>
      <c r="D10" s="5" t="s">
        <v>14</v>
      </c>
      <c r="E10" s="6" t="s">
        <v>29</v>
      </c>
      <c r="F10" s="4">
        <v>3</v>
      </c>
      <c r="G10" s="7">
        <v>2</v>
      </c>
      <c r="H10" s="8">
        <v>3.25</v>
      </c>
      <c r="I10" s="9">
        <f t="shared" si="0"/>
        <v>2.6859504132231407</v>
      </c>
      <c r="J10" s="9">
        <f t="shared" si="1"/>
        <v>9.75</v>
      </c>
      <c r="K10" s="9">
        <f t="shared" si="2"/>
        <v>6.5</v>
      </c>
    </row>
    <row r="11" spans="1:11" x14ac:dyDescent="0.25">
      <c r="A11" s="4">
        <v>7</v>
      </c>
      <c r="B11" s="5" t="s">
        <v>30</v>
      </c>
      <c r="C11" s="5" t="s">
        <v>31</v>
      </c>
      <c r="D11" s="5" t="s">
        <v>14</v>
      </c>
      <c r="E11" s="6" t="s">
        <v>32</v>
      </c>
      <c r="F11" s="4">
        <v>1</v>
      </c>
      <c r="G11" s="7">
        <v>1</v>
      </c>
      <c r="H11" s="8">
        <v>1.25</v>
      </c>
      <c r="I11" s="9">
        <f t="shared" si="0"/>
        <v>1.0330578512396695</v>
      </c>
      <c r="J11" s="9">
        <f t="shared" si="1"/>
        <v>1.25</v>
      </c>
      <c r="K11" s="9">
        <f t="shared" si="2"/>
        <v>1.25</v>
      </c>
    </row>
    <row r="12" spans="1:11" x14ac:dyDescent="0.25">
      <c r="A12" s="4">
        <v>8</v>
      </c>
      <c r="B12" s="5" t="s">
        <v>33</v>
      </c>
      <c r="C12" s="5" t="s">
        <v>31</v>
      </c>
      <c r="D12" s="5" t="s">
        <v>14</v>
      </c>
      <c r="E12" s="6" t="s">
        <v>34</v>
      </c>
      <c r="F12" s="4">
        <v>1</v>
      </c>
      <c r="G12" s="7">
        <v>1</v>
      </c>
      <c r="H12" s="8">
        <v>0.4</v>
      </c>
      <c r="I12" s="9">
        <f t="shared" si="0"/>
        <v>0.33057851239669422</v>
      </c>
      <c r="J12" s="9">
        <f t="shared" si="1"/>
        <v>0.4</v>
      </c>
      <c r="K12" s="9">
        <f t="shared" si="2"/>
        <v>0.4</v>
      </c>
    </row>
    <row r="13" spans="1:11" x14ac:dyDescent="0.25">
      <c r="A13" s="4">
        <v>9</v>
      </c>
      <c r="B13" s="5" t="s">
        <v>35</v>
      </c>
      <c r="C13" s="5" t="s">
        <v>31</v>
      </c>
      <c r="D13" s="5" t="s">
        <v>14</v>
      </c>
      <c r="E13" s="6" t="s">
        <v>36</v>
      </c>
      <c r="F13" s="4">
        <v>1</v>
      </c>
      <c r="G13" s="7">
        <v>1</v>
      </c>
      <c r="H13" s="8">
        <v>0.5</v>
      </c>
      <c r="I13" s="9">
        <f t="shared" si="0"/>
        <v>0.41322314049586778</v>
      </c>
      <c r="J13" s="9">
        <f t="shared" si="1"/>
        <v>0.5</v>
      </c>
      <c r="K13" s="9">
        <f t="shared" si="2"/>
        <v>0.5</v>
      </c>
    </row>
    <row r="14" spans="1:11" x14ac:dyDescent="0.25">
      <c r="I14" s="10" t="s">
        <v>37</v>
      </c>
      <c r="J14" s="11">
        <f>SUM(J5:J13)</f>
        <v>62.4</v>
      </c>
      <c r="K14" s="11">
        <f>SUM(K5:K13)</f>
        <v>48.15</v>
      </c>
    </row>
    <row r="17" spans="2:3" ht="15.75" x14ac:dyDescent="0.25">
      <c r="B17" s="12" t="s">
        <v>38</v>
      </c>
    </row>
    <row r="18" spans="2:3" x14ac:dyDescent="0.25">
      <c r="B18" s="13" t="s">
        <v>39</v>
      </c>
      <c r="C18" s="9">
        <f>J14</f>
        <v>62.4</v>
      </c>
    </row>
    <row r="19" spans="2:3" x14ac:dyDescent="0.25">
      <c r="B19" s="13" t="s">
        <v>40</v>
      </c>
      <c r="C19" s="8">
        <v>8.75</v>
      </c>
    </row>
    <row r="20" spans="2:3" x14ac:dyDescent="0.25">
      <c r="B20" s="10" t="s">
        <v>41</v>
      </c>
      <c r="C20" s="11">
        <f>C18+C19</f>
        <v>71.150000000000006</v>
      </c>
    </row>
    <row r="21" spans="2:3" x14ac:dyDescent="0.25">
      <c r="B21" s="13" t="s">
        <v>42</v>
      </c>
      <c r="C21" s="8">
        <v>50</v>
      </c>
    </row>
    <row r="22" spans="2:3" x14ac:dyDescent="0.25">
      <c r="B22" s="13" t="s">
        <v>43</v>
      </c>
      <c r="C22" s="14">
        <v>0.21</v>
      </c>
    </row>
    <row r="23" spans="2:3" x14ac:dyDescent="0.25">
      <c r="B23" s="13" t="s">
        <v>44</v>
      </c>
      <c r="C23" s="9">
        <f>K14</f>
        <v>48.15</v>
      </c>
    </row>
    <row r="24" spans="2:3" x14ac:dyDescent="0.25">
      <c r="B24" s="10" t="s">
        <v>45</v>
      </c>
      <c r="C24" s="11">
        <f>C21-C23</f>
        <v>1.8500000000000014</v>
      </c>
    </row>
    <row r="26" spans="2:3" x14ac:dyDescent="0.25">
      <c r="B26" s="10" t="s">
        <v>46</v>
      </c>
    </row>
    <row r="27" spans="2:3" x14ac:dyDescent="0.25">
      <c r="B27" s="15" t="s">
        <v>47</v>
      </c>
    </row>
    <row r="28" spans="2:3" x14ac:dyDescent="0.25">
      <c r="B28" s="13" t="s">
        <v>48</v>
      </c>
    </row>
    <row r="29" spans="2:3" x14ac:dyDescent="0.25">
      <c r="B29" s="16" t="s">
        <v>49</v>
      </c>
    </row>
    <row r="30" spans="2:3" x14ac:dyDescent="0.25">
      <c r="B30" s="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Everaert</cp:lastModifiedBy>
  <cp:revision>0</cp:revision>
  <dcterms:created xsi:type="dcterms:W3CDTF">2026-10-07T06:26:51Z</dcterms:created>
  <dcterms:modified xsi:type="dcterms:W3CDTF">2026-10-07T06:29:09Z</dcterms:modified>
  <dc:language>en-US</dc:language>
</cp:coreProperties>
</file>